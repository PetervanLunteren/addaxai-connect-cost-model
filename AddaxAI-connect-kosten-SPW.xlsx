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W" sheetId="1" r:id="rId4"/>
  </sheets>
  <definedNames/>
  <calcPr/>
  <extLst>
    <ext uri="GoogleSheetsCustomDataVersion2">
      <go:sheetsCustomData xmlns:go="http://customooxmlschemas.google.com/" r:id="rId5" roundtripDataChecksum="1IJwIEa6Vnx0EiHk1L90+4alPiAm3115IeWa0N0o2Ok="/>
    </ext>
  </extLst>
</workbook>
</file>

<file path=xl/sharedStrings.xml><?xml version="1.0" encoding="utf-8"?>
<sst xmlns="http://schemas.openxmlformats.org/spreadsheetml/2006/main" count="102" uniqueCount="63">
  <si>
    <t>INPUT AANTALLEN</t>
  </si>
  <si>
    <t>Parameter</t>
  </si>
  <si>
    <t>Aantal</t>
  </si>
  <si>
    <t>Aantal jaren</t>
  </si>
  <si>
    <t>Aantal actieve camera's</t>
  </si>
  <si>
    <t>Aantal backup camera's</t>
  </si>
  <si>
    <t>Aantal enclosures</t>
  </si>
  <si>
    <t>Aantal training sessies</t>
  </si>
  <si>
    <t>Aantal dagen software ontwikkeling</t>
  </si>
  <si>
    <t>INPUT KOSTEN</t>
  </si>
  <si>
    <t>Item</t>
  </si>
  <si>
    <t>Kosten</t>
  </si>
  <si>
    <t>Beschrijving</t>
  </si>
  <si>
    <t>Inkoop</t>
  </si>
  <si>
    <t>Camera</t>
  </si>
  <si>
    <t>Eenmalige kosten per camera</t>
  </si>
  <si>
    <t>Smart Parks</t>
  </si>
  <si>
    <t>Enclosure</t>
  </si>
  <si>
    <t>Configuratie</t>
  </si>
  <si>
    <t>Addax</t>
  </si>
  <si>
    <t>Logistiek</t>
  </si>
  <si>
    <t>SD-kaart (twee sets)</t>
  </si>
  <si>
    <t>Batterijen (twee sets)</t>
  </si>
  <si>
    <t>Mobiele data (SIM-kaart)</t>
  </si>
  <si>
    <t>Maandelijkse kosten per camera</t>
  </si>
  <si>
    <t>Camera plaatsing en beheer</t>
  </si>
  <si>
    <t>Jaarlijkse kosten per camera</t>
  </si>
  <si>
    <t>Software setup</t>
  </si>
  <si>
    <t>Eenmalige kosten per project</t>
  </si>
  <si>
    <t>Software onderhoud</t>
  </si>
  <si>
    <t>Maandelijkse kosten per project</t>
  </si>
  <si>
    <t>Software ontwikkeling</t>
  </si>
  <si>
    <t>Eenmalige kosten per dag</t>
  </si>
  <si>
    <t>Server setup</t>
  </si>
  <si>
    <t>Server onderhoud</t>
  </si>
  <si>
    <t>Server instance (incl 500 GB)</t>
  </si>
  <si>
    <t>Training sessie</t>
  </si>
  <si>
    <t>Eenmalige per sessie</t>
  </si>
  <si>
    <t>Camera batterij oplader</t>
  </si>
  <si>
    <t>OUTPUT BEREKENING</t>
  </si>
  <si>
    <t>Description</t>
  </si>
  <si>
    <t>Unit price</t>
  </si>
  <si>
    <t>Number</t>
  </si>
  <si>
    <t>Total</t>
  </si>
  <si>
    <t>Active camera</t>
  </si>
  <si>
    <t>Per item</t>
  </si>
  <si>
    <t>Backup camera</t>
  </si>
  <si>
    <t>Battery charger</t>
  </si>
  <si>
    <t>Per project</t>
  </si>
  <si>
    <t>SD-card (two sets)</t>
  </si>
  <si>
    <t>Per active camera</t>
  </si>
  <si>
    <t>Batteries (two sets)</t>
  </si>
  <si>
    <t>Logistics</t>
  </si>
  <si>
    <t>Mobile data (SIM-card)</t>
  </si>
  <si>
    <t>Camera configuration</t>
  </si>
  <si>
    <t>Camera placement and management</t>
  </si>
  <si>
    <t>Server instance</t>
  </si>
  <si>
    <t>Server maintenance</t>
  </si>
  <si>
    <t>Software maintenance</t>
  </si>
  <si>
    <t>Software development</t>
  </si>
  <si>
    <t>Per day</t>
  </si>
  <si>
    <t>Training</t>
  </si>
  <si>
    <t>Per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</si>
</sst>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€&quot;\ * #,##0.00_ ;_ &quot;€&quot;\ * \-#,##0.00_ ;_ &quot;€&quot;\ * &quot;-&quot;??_ ;_ @_ "/>
  </numFmts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3" fontId="2" numFmtId="0" xfId="0" applyBorder="1" applyFill="1" applyFont="1"/>
    <xf borderId="0" fillId="0" fontId="3" numFmtId="0" xfId="0" applyFont="1"/>
    <xf borderId="6" fillId="0" fontId="2" numFmtId="0" xfId="0" applyBorder="1" applyFont="1"/>
    <xf borderId="7" fillId="3" fontId="2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1" numFmtId="0" xfId="0" applyFont="1"/>
    <xf borderId="0" fillId="0" fontId="2" numFmtId="164" xfId="0" applyFont="1" applyNumberFormat="1"/>
    <xf borderId="10" fillId="0" fontId="2" numFmtId="0" xfId="0" applyBorder="1" applyFont="1"/>
    <xf borderId="11" fillId="4" fontId="2" numFmtId="164" xfId="0" applyBorder="1" applyFill="1" applyFont="1" applyNumberFormat="1"/>
    <xf borderId="0" fillId="0" fontId="2" numFmtId="0" xfId="0" applyFont="1"/>
    <xf borderId="12" fillId="0" fontId="2" numFmtId="0" xfId="0" applyBorder="1" applyFont="1"/>
    <xf borderId="0" fillId="0" fontId="2" numFmtId="3" xfId="0" applyFont="1" applyNumberFormat="1"/>
    <xf borderId="13" fillId="0" fontId="2" numFmtId="0" xfId="0" applyBorder="1" applyFont="1"/>
    <xf borderId="14" fillId="4" fontId="2" numFmtId="164" xfId="0" applyBorder="1" applyFont="1" applyNumberFormat="1"/>
    <xf borderId="15" fillId="0" fontId="2" numFmtId="0" xfId="0" applyBorder="1" applyFont="1"/>
    <xf borderId="16" fillId="0" fontId="2" numFmtId="0" xfId="0" applyBorder="1" applyFont="1"/>
    <xf borderId="17" fillId="2" fontId="1" numFmtId="0" xfId="0" applyBorder="1" applyFont="1"/>
    <xf borderId="18" fillId="0" fontId="1" numFmtId="0" xfId="0" applyBorder="1" applyFont="1"/>
    <xf borderId="19" fillId="0" fontId="2" numFmtId="164" xfId="0" applyBorder="1" applyFont="1" applyNumberFormat="1"/>
    <xf borderId="19" fillId="0" fontId="2" numFmtId="0" xfId="0" applyBorder="1" applyFont="1"/>
    <xf borderId="12" fillId="0" fontId="2" numFmtId="164" xfId="0" applyBorder="1" applyFont="1" applyNumberFormat="1"/>
    <xf borderId="20" fillId="0" fontId="2" numFmtId="0" xfId="0" applyBorder="1" applyFont="1"/>
    <xf borderId="21" fillId="0" fontId="2" numFmtId="164" xfId="0" applyBorder="1" applyFont="1" applyNumberFormat="1"/>
    <xf borderId="21" fillId="0" fontId="2" numFmtId="0" xfId="0" applyBorder="1" applyFont="1"/>
    <xf borderId="22" fillId="0" fontId="2" numFmtId="164" xfId="0" applyBorder="1" applyFont="1" applyNumberFormat="1"/>
    <xf borderId="6" fillId="0" fontId="1" numFmtId="0" xfId="0" applyBorder="1" applyFont="1"/>
    <xf borderId="15" fillId="0" fontId="1" numFmtId="0" xfId="0" applyBorder="1" applyFont="1"/>
    <xf borderId="23" fillId="0" fontId="1" numFmtId="0" xfId="0" applyBorder="1" applyFont="1"/>
    <xf borderId="24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44"/>
    <col customWidth="1" min="2" max="2" width="24.89"/>
    <col customWidth="1" min="3" max="3" width="22.56"/>
    <col customWidth="1" min="4" max="4" width="24.0"/>
    <col customWidth="1" min="5" max="5" width="9.44"/>
    <col customWidth="1" min="6" max="6" width="10.78"/>
    <col customWidth="1" min="7" max="7" width="6.11"/>
    <col customWidth="1" min="8" max="8" width="20.0"/>
    <col customWidth="1" min="9" max="9" width="4.0"/>
    <col customWidth="1" min="10" max="10" width="11.67"/>
    <col customWidth="1" min="11" max="11" width="5.33"/>
    <col customWidth="1" min="12" max="12" width="4.89"/>
    <col customWidth="1" min="13" max="13" width="4.11"/>
    <col customWidth="1" min="14" max="14" width="5.56"/>
    <col customWidth="1" min="15" max="15" width="9.89"/>
    <col customWidth="1" min="16" max="26" width="6.78"/>
  </cols>
  <sheetData>
    <row r="2" ht="15.0" customHeight="1">
      <c r="B2" s="1" t="s">
        <v>0</v>
      </c>
    </row>
    <row r="3" ht="15.0" customHeight="1">
      <c r="B3" s="2" t="s">
        <v>1</v>
      </c>
      <c r="C3" s="3" t="s">
        <v>2</v>
      </c>
    </row>
    <row r="4" ht="15.0" customHeight="1">
      <c r="B4" s="4" t="s">
        <v>3</v>
      </c>
      <c r="C4" s="5">
        <v>1.0</v>
      </c>
      <c r="D4" s="6"/>
    </row>
    <row r="5">
      <c r="B5" s="4" t="s">
        <v>4</v>
      </c>
      <c r="C5" s="5">
        <v>25.0</v>
      </c>
    </row>
    <row r="6" ht="15.0" customHeight="1">
      <c r="B6" s="4" t="s">
        <v>5</v>
      </c>
      <c r="C6" s="5">
        <v>10.0</v>
      </c>
    </row>
    <row r="7" ht="15.0" customHeight="1">
      <c r="B7" s="4" t="s">
        <v>6</v>
      </c>
      <c r="C7" s="5">
        <v>0.0</v>
      </c>
    </row>
    <row r="8" ht="15.0" customHeight="1">
      <c r="B8" s="4" t="s">
        <v>7</v>
      </c>
      <c r="C8" s="5">
        <v>2.0</v>
      </c>
    </row>
    <row r="9" ht="15.0" customHeight="1">
      <c r="B9" s="7" t="s">
        <v>8</v>
      </c>
      <c r="C9" s="8">
        <v>5.0</v>
      </c>
    </row>
    <row r="11" ht="15.0" customHeight="1">
      <c r="B11" s="1" t="s">
        <v>9</v>
      </c>
    </row>
    <row r="12" ht="15.0" customHeight="1">
      <c r="B12" s="2" t="s">
        <v>10</v>
      </c>
      <c r="C12" s="9" t="s">
        <v>11</v>
      </c>
      <c r="D12" s="10" t="s">
        <v>12</v>
      </c>
      <c r="E12" s="3" t="s">
        <v>13</v>
      </c>
      <c r="F12" s="11"/>
      <c r="K12" s="12"/>
      <c r="O12" s="11"/>
    </row>
    <row r="13" ht="15.0" customHeight="1">
      <c r="B13" s="13" t="s">
        <v>14</v>
      </c>
      <c r="C13" s="14">
        <v>130.0</v>
      </c>
      <c r="D13" s="15" t="s">
        <v>15</v>
      </c>
      <c r="E13" s="16" t="s">
        <v>16</v>
      </c>
      <c r="F13" s="15"/>
      <c r="K13" s="12"/>
      <c r="O13" s="17"/>
    </row>
    <row r="14" ht="15.0" customHeight="1">
      <c r="B14" s="13" t="s">
        <v>17</v>
      </c>
      <c r="C14" s="14">
        <v>25.0</v>
      </c>
      <c r="D14" s="15" t="s">
        <v>15</v>
      </c>
      <c r="E14" s="16" t="s">
        <v>16</v>
      </c>
      <c r="F14" s="15"/>
      <c r="K14" s="12"/>
      <c r="O14" s="17"/>
    </row>
    <row r="15" ht="15.0" customHeight="1">
      <c r="B15" s="13" t="s">
        <v>18</v>
      </c>
      <c r="C15" s="14">
        <v>25.0</v>
      </c>
      <c r="D15" s="15" t="s">
        <v>15</v>
      </c>
      <c r="E15" s="16" t="s">
        <v>19</v>
      </c>
      <c r="F15" s="15"/>
      <c r="K15" s="12"/>
      <c r="O15" s="17"/>
    </row>
    <row r="16" ht="15.0" customHeight="1">
      <c r="B16" s="13" t="s">
        <v>20</v>
      </c>
      <c r="C16" s="14">
        <v>10.0</v>
      </c>
      <c r="D16" s="15" t="s">
        <v>15</v>
      </c>
      <c r="E16" s="16" t="s">
        <v>16</v>
      </c>
      <c r="F16" s="15"/>
      <c r="K16" s="12"/>
      <c r="O16" s="17"/>
    </row>
    <row r="17" ht="15.0" customHeight="1">
      <c r="B17" s="13" t="s">
        <v>21</v>
      </c>
      <c r="C17" s="14">
        <v>20.0</v>
      </c>
      <c r="D17" s="15" t="s">
        <v>15</v>
      </c>
      <c r="E17" s="16" t="s">
        <v>16</v>
      </c>
      <c r="F17" s="15"/>
    </row>
    <row r="18" ht="15.0" customHeight="1">
      <c r="B18" s="13" t="s">
        <v>22</v>
      </c>
      <c r="C18" s="14">
        <v>100.0</v>
      </c>
      <c r="D18" s="15" t="s">
        <v>15</v>
      </c>
      <c r="E18" s="16" t="s">
        <v>16</v>
      </c>
      <c r="F18" s="15"/>
      <c r="O18" s="17"/>
    </row>
    <row r="19" ht="15.0" customHeight="1">
      <c r="B19" s="13" t="s">
        <v>23</v>
      </c>
      <c r="C19" s="14">
        <v>5.0</v>
      </c>
      <c r="D19" s="15" t="s">
        <v>24</v>
      </c>
      <c r="E19" s="16" t="s">
        <v>16</v>
      </c>
      <c r="F19" s="15"/>
    </row>
    <row r="20" ht="15.0" customHeight="1">
      <c r="B20" s="13" t="s">
        <v>25</v>
      </c>
      <c r="C20" s="14">
        <v>0.0</v>
      </c>
      <c r="D20" s="15" t="s">
        <v>26</v>
      </c>
      <c r="E20" s="16"/>
      <c r="F20" s="15"/>
    </row>
    <row r="21" ht="15.0" customHeight="1">
      <c r="B21" s="13" t="s">
        <v>27</v>
      </c>
      <c r="C21" s="14">
        <v>1000.0</v>
      </c>
      <c r="D21" s="15" t="s">
        <v>28</v>
      </c>
      <c r="E21" s="16" t="s">
        <v>19</v>
      </c>
      <c r="F21" s="15"/>
    </row>
    <row r="22" ht="15.0" customHeight="1">
      <c r="B22" s="13" t="s">
        <v>29</v>
      </c>
      <c r="C22" s="14">
        <v>250.0</v>
      </c>
      <c r="D22" s="15" t="s">
        <v>30</v>
      </c>
      <c r="E22" s="16" t="s">
        <v>19</v>
      </c>
      <c r="F22" s="15"/>
    </row>
    <row r="23" ht="15.0" customHeight="1">
      <c r="B23" s="13" t="s">
        <v>31</v>
      </c>
      <c r="C23" s="14">
        <v>1000.0</v>
      </c>
      <c r="D23" s="15" t="s">
        <v>32</v>
      </c>
      <c r="E23" s="16" t="s">
        <v>19</v>
      </c>
      <c r="F23" s="15"/>
    </row>
    <row r="24" ht="15.0" customHeight="1">
      <c r="B24" s="13" t="s">
        <v>33</v>
      </c>
      <c r="C24" s="14">
        <v>1000.0</v>
      </c>
      <c r="D24" s="15" t="s">
        <v>28</v>
      </c>
      <c r="E24" s="16" t="s">
        <v>16</v>
      </c>
      <c r="F24" s="15"/>
    </row>
    <row r="25" ht="15.0" customHeight="1">
      <c r="B25" s="13" t="s">
        <v>34</v>
      </c>
      <c r="C25" s="14">
        <v>250.0</v>
      </c>
      <c r="D25" s="15" t="s">
        <v>30</v>
      </c>
      <c r="E25" s="16" t="s">
        <v>16</v>
      </c>
      <c r="F25" s="15"/>
    </row>
    <row r="26" ht="15.0" customHeight="1">
      <c r="B26" s="13" t="s">
        <v>35</v>
      </c>
      <c r="C26" s="14">
        <v>100.0</v>
      </c>
      <c r="D26" s="15" t="s">
        <v>30</v>
      </c>
      <c r="E26" s="16" t="s">
        <v>19</v>
      </c>
      <c r="F26" s="15"/>
    </row>
    <row r="27" ht="15.0" customHeight="1">
      <c r="B27" s="13" t="s">
        <v>36</v>
      </c>
      <c r="C27" s="14">
        <v>1000.0</v>
      </c>
      <c r="D27" s="15" t="s">
        <v>37</v>
      </c>
      <c r="E27" s="16" t="s">
        <v>19</v>
      </c>
      <c r="F27" s="15"/>
    </row>
    <row r="28" ht="15.0" customHeight="1">
      <c r="B28" s="18" t="s">
        <v>38</v>
      </c>
      <c r="C28" s="19">
        <v>50.0</v>
      </c>
      <c r="D28" s="20" t="s">
        <v>28</v>
      </c>
      <c r="E28" s="21" t="s">
        <v>16</v>
      </c>
      <c r="F28" s="15"/>
    </row>
    <row r="29" ht="15.0" customHeight="1">
      <c r="O29" s="11"/>
    </row>
    <row r="30" ht="15.0" customHeight="1">
      <c r="B30" s="22" t="s">
        <v>39</v>
      </c>
    </row>
    <row r="31" ht="15.0" customHeight="1">
      <c r="B31" s="23" t="s">
        <v>40</v>
      </c>
      <c r="C31" s="9" t="s">
        <v>41</v>
      </c>
      <c r="D31" s="9" t="s">
        <v>10</v>
      </c>
      <c r="E31" s="9" t="s">
        <v>42</v>
      </c>
      <c r="F31" s="3" t="s">
        <v>43</v>
      </c>
      <c r="H31" s="15"/>
    </row>
    <row r="32" ht="15.0" customHeight="1">
      <c r="B32" s="13" t="s">
        <v>44</v>
      </c>
      <c r="C32" s="24">
        <f t="shared" ref="C32:C33" si="1">$C$13</f>
        <v>130</v>
      </c>
      <c r="D32" s="25" t="s">
        <v>45</v>
      </c>
      <c r="E32" s="25">
        <f>$C$5</f>
        <v>25</v>
      </c>
      <c r="F32" s="26">
        <f t="shared" ref="F32:F48" si="2">$C32*$E32</f>
        <v>3250</v>
      </c>
      <c r="H32" s="12"/>
    </row>
    <row r="33" ht="15.0" customHeight="1">
      <c r="B33" s="13" t="s">
        <v>46</v>
      </c>
      <c r="C33" s="24">
        <f t="shared" si="1"/>
        <v>130</v>
      </c>
      <c r="D33" s="25" t="s">
        <v>45</v>
      </c>
      <c r="E33" s="25">
        <f>$C$6</f>
        <v>10</v>
      </c>
      <c r="F33" s="26">
        <f t="shared" si="2"/>
        <v>1300</v>
      </c>
      <c r="H33" s="12"/>
    </row>
    <row r="34" ht="15.0" customHeight="1">
      <c r="B34" s="13" t="s">
        <v>17</v>
      </c>
      <c r="C34" s="24">
        <f>$C$14</f>
        <v>25</v>
      </c>
      <c r="D34" s="25" t="s">
        <v>45</v>
      </c>
      <c r="E34" s="25">
        <f>$C$7</f>
        <v>0</v>
      </c>
      <c r="F34" s="26">
        <f t="shared" si="2"/>
        <v>0</v>
      </c>
      <c r="H34" s="12"/>
    </row>
    <row r="35" ht="15.0" customHeight="1">
      <c r="B35" s="13" t="s">
        <v>47</v>
      </c>
      <c r="C35" s="24">
        <f>$C$28</f>
        <v>50</v>
      </c>
      <c r="D35" s="25" t="s">
        <v>48</v>
      </c>
      <c r="E35" s="25">
        <v>1.0</v>
      </c>
      <c r="F35" s="26">
        <f t="shared" si="2"/>
        <v>50</v>
      </c>
      <c r="H35" s="12"/>
    </row>
    <row r="36" ht="15.0" customHeight="1">
      <c r="B36" s="13" t="s">
        <v>49</v>
      </c>
      <c r="C36" s="24">
        <f>$C$17</f>
        <v>20</v>
      </c>
      <c r="D36" s="25" t="s">
        <v>50</v>
      </c>
      <c r="E36" s="25">
        <f t="shared" ref="E36:E37" si="3">$C$5</f>
        <v>25</v>
      </c>
      <c r="F36" s="26">
        <f t="shared" si="2"/>
        <v>500</v>
      </c>
      <c r="H36" s="12"/>
    </row>
    <row r="37" ht="15.0" customHeight="1">
      <c r="B37" s="13" t="s">
        <v>51</v>
      </c>
      <c r="C37" s="24">
        <f>$C$18</f>
        <v>100</v>
      </c>
      <c r="D37" s="25" t="s">
        <v>50</v>
      </c>
      <c r="E37" s="25">
        <f t="shared" si="3"/>
        <v>25</v>
      </c>
      <c r="F37" s="26">
        <f t="shared" si="2"/>
        <v>2500</v>
      </c>
      <c r="H37" s="12"/>
    </row>
    <row r="38" ht="15.0" customHeight="1">
      <c r="B38" s="13" t="s">
        <v>52</v>
      </c>
      <c r="C38" s="24">
        <f>$C$16</f>
        <v>10</v>
      </c>
      <c r="D38" s="25" t="s">
        <v>45</v>
      </c>
      <c r="E38" s="25">
        <f>$C$5+$C$6</f>
        <v>35</v>
      </c>
      <c r="F38" s="26">
        <f t="shared" si="2"/>
        <v>350</v>
      </c>
      <c r="H38" s="12"/>
    </row>
    <row r="39" ht="15.0" customHeight="1">
      <c r="B39" s="13" t="s">
        <v>53</v>
      </c>
      <c r="C39" s="24">
        <f>($C$19)*($C$4*12)</f>
        <v>60</v>
      </c>
      <c r="D39" s="25" t="s">
        <v>50</v>
      </c>
      <c r="E39" s="25">
        <f t="shared" ref="E39:E41" si="4">$C$5</f>
        <v>25</v>
      </c>
      <c r="F39" s="26">
        <f t="shared" si="2"/>
        <v>1500</v>
      </c>
      <c r="H39" s="12"/>
    </row>
    <row r="40" ht="15.0" customHeight="1">
      <c r="B40" s="13" t="s">
        <v>54</v>
      </c>
      <c r="C40" s="24">
        <f>$C$15</f>
        <v>25</v>
      </c>
      <c r="D40" s="25" t="s">
        <v>50</v>
      </c>
      <c r="E40" s="25">
        <f t="shared" si="4"/>
        <v>25</v>
      </c>
      <c r="F40" s="26">
        <f t="shared" si="2"/>
        <v>625</v>
      </c>
      <c r="H40" s="12"/>
    </row>
    <row r="41" ht="15.75" customHeight="1">
      <c r="B41" s="13" t="s">
        <v>55</v>
      </c>
      <c r="C41" s="24">
        <f>($C$20)*$C$4</f>
        <v>0</v>
      </c>
      <c r="D41" s="25" t="s">
        <v>50</v>
      </c>
      <c r="E41" s="25">
        <f t="shared" si="4"/>
        <v>25</v>
      </c>
      <c r="F41" s="26">
        <f t="shared" si="2"/>
        <v>0</v>
      </c>
      <c r="H41" s="12"/>
    </row>
    <row r="42" ht="15.0" customHeight="1">
      <c r="B42" s="13" t="s">
        <v>56</v>
      </c>
      <c r="C42" s="24">
        <f>($C$26)*($C$4*12)</f>
        <v>1200</v>
      </c>
      <c r="D42" s="25" t="s">
        <v>48</v>
      </c>
      <c r="E42" s="25">
        <v>1.0</v>
      </c>
      <c r="F42" s="26">
        <f t="shared" si="2"/>
        <v>1200</v>
      </c>
      <c r="H42" s="12"/>
    </row>
    <row r="43" ht="15.75" customHeight="1">
      <c r="B43" s="13" t="s">
        <v>33</v>
      </c>
      <c r="C43" s="24">
        <f>$C$24</f>
        <v>1000</v>
      </c>
      <c r="D43" s="25" t="s">
        <v>48</v>
      </c>
      <c r="E43" s="25">
        <v>1.0</v>
      </c>
      <c r="F43" s="26">
        <f t="shared" si="2"/>
        <v>1000</v>
      </c>
      <c r="H43" s="12"/>
    </row>
    <row r="44" ht="15.75" customHeight="1">
      <c r="B44" s="13" t="s">
        <v>57</v>
      </c>
      <c r="C44" s="24">
        <f>($C$25)*($C$4*12)</f>
        <v>3000</v>
      </c>
      <c r="D44" s="25" t="s">
        <v>48</v>
      </c>
      <c r="E44" s="25">
        <v>1.0</v>
      </c>
      <c r="F44" s="26">
        <f t="shared" si="2"/>
        <v>3000</v>
      </c>
      <c r="H44" s="12"/>
    </row>
    <row r="45" ht="15.75" customHeight="1">
      <c r="B45" s="13" t="s">
        <v>27</v>
      </c>
      <c r="C45" s="24">
        <f>$C$21</f>
        <v>1000</v>
      </c>
      <c r="D45" s="25" t="s">
        <v>48</v>
      </c>
      <c r="E45" s="25">
        <v>1.0</v>
      </c>
      <c r="F45" s="26">
        <f t="shared" si="2"/>
        <v>1000</v>
      </c>
      <c r="H45" s="12"/>
    </row>
    <row r="46" ht="15.75" customHeight="1">
      <c r="B46" s="13" t="s">
        <v>58</v>
      </c>
      <c r="C46" s="24">
        <f>($C$22)*($C$4*12)</f>
        <v>3000</v>
      </c>
      <c r="D46" s="25" t="s">
        <v>48</v>
      </c>
      <c r="E46" s="25">
        <v>1.0</v>
      </c>
      <c r="F46" s="26">
        <f t="shared" si="2"/>
        <v>3000</v>
      </c>
      <c r="H46" s="12"/>
    </row>
    <row r="47" ht="15.75" customHeight="1">
      <c r="B47" s="13" t="s">
        <v>59</v>
      </c>
      <c r="C47" s="24">
        <f>$C$23</f>
        <v>1000</v>
      </c>
      <c r="D47" s="25" t="s">
        <v>60</v>
      </c>
      <c r="E47" s="25">
        <f>$C$9</f>
        <v>5</v>
      </c>
      <c r="F47" s="26">
        <f t="shared" si="2"/>
        <v>5000</v>
      </c>
      <c r="H47" s="12"/>
    </row>
    <row r="48" ht="15.75" customHeight="1">
      <c r="B48" s="27" t="s">
        <v>61</v>
      </c>
      <c r="C48" s="28">
        <f>$C$27</f>
        <v>1000</v>
      </c>
      <c r="D48" s="29" t="s">
        <v>62</v>
      </c>
      <c r="E48" s="29">
        <f>$C$8</f>
        <v>2</v>
      </c>
      <c r="F48" s="30">
        <f t="shared" si="2"/>
        <v>2000</v>
      </c>
      <c r="H48" s="12"/>
    </row>
    <row r="49" ht="15.75" customHeight="1">
      <c r="B49" s="31"/>
      <c r="C49" s="32"/>
      <c r="D49" s="32"/>
      <c r="E49" s="33" t="s">
        <v>43</v>
      </c>
      <c r="F49" s="34">
        <f>SUM(F32:F48)</f>
        <v>26275</v>
      </c>
      <c r="H49" s="12"/>
    </row>
    <row r="50" ht="15.75" customHeight="1"/>
    <row r="51" ht="15.75" customHeight="1">
      <c r="F51" s="12"/>
      <c r="G51" s="1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2024-07-10T10:50:59Z</dcterms:created>
  <dc:creator>Peter van Lunteren</dc:creator>
</cp:coreProperties>
</file>